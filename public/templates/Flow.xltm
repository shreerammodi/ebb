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hreeram/Library/Group Containers/UBF8T346G9.Office/User Content.localized/Templates.localized/"/>
    </mc:Choice>
  </mc:AlternateContent>
  <xr:revisionPtr revIDLastSave="0" documentId="8_{7FA2A11E-9470-004B-AF6D-7F3A2F210EDC}" xr6:coauthVersionLast="47" xr6:coauthVersionMax="47" xr10:uidLastSave="{00000000-0000-0000-0000-000000000000}"/>
  <bookViews>
    <workbookView xWindow="0" yWindow="680" windowWidth="30240" windowHeight="18960" xr2:uid="{A32910FC-8370-914D-90BB-51F7066C4B9E}"/>
  </bookViews>
  <sheets>
    <sheet name="Info" sheetId="1" r:id="rId1"/>
    <sheet name="AFF" sheetId="3" state="hidden" r:id="rId2"/>
    <sheet name="NEG" sheetId="21" state="hidden" r:id="rId3"/>
    <sheet name="Decisions" sheetId="48" r:id="rId4"/>
    <sheet name="CX" sheetId="35" r:id="rId5"/>
  </sheets>
  <functionGroups builtInGroupCount="19"/>
  <definedNames>
    <definedName name="_xleta.OR" hidden="1" xlm="1">#NAME?</definedName>
    <definedName name="_xleta.UP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" i="1" l="1"/>
  <c r="H3" i="1"/>
  <c r="D3" i="1"/>
</calcChain>
</file>

<file path=xl/sharedStrings.xml><?xml version="1.0" encoding="utf-8"?>
<sst xmlns="http://schemas.openxmlformats.org/spreadsheetml/2006/main" count="97" uniqueCount="75">
  <si>
    <t>First Name</t>
  </si>
  <si>
    <t>Last Name</t>
  </si>
  <si>
    <t>NEG School:</t>
  </si>
  <si>
    <t>AFF School:</t>
  </si>
  <si>
    <t>1A:</t>
  </si>
  <si>
    <t>2A:</t>
  </si>
  <si>
    <t>2N:</t>
  </si>
  <si>
    <t>1N:</t>
  </si>
  <si>
    <t>Tournament:</t>
  </si>
  <si>
    <t>Date:</t>
  </si>
  <si>
    <t>Judges:</t>
  </si>
  <si>
    <t>Vote:</t>
  </si>
  <si>
    <t>Decision:</t>
  </si>
  <si>
    <t>NEG</t>
  </si>
  <si>
    <t>AFF</t>
  </si>
  <si>
    <t>Prep Time</t>
  </si>
  <si>
    <t>1AC</t>
  </si>
  <si>
    <t>2AC</t>
  </si>
  <si>
    <t>1NC</t>
  </si>
  <si>
    <t>Block</t>
  </si>
  <si>
    <t>1AR</t>
  </si>
  <si>
    <t>2NR</t>
  </si>
  <si>
    <t>2AR</t>
  </si>
  <si>
    <t>No. Sheets:</t>
  </si>
  <si>
    <t>Note</t>
  </si>
  <si>
    <t>1AC CX</t>
  </si>
  <si>
    <t>Question</t>
  </si>
  <si>
    <t>Response</t>
  </si>
  <si>
    <t>1NC CX</t>
  </si>
  <si>
    <t>2AC CX</t>
  </si>
  <si>
    <t>2NC CX</t>
  </si>
  <si>
    <t>Do not move the "Info" or "CX" sheets!</t>
  </si>
  <si>
    <t>Speech</t>
  </si>
  <si>
    <r>
      <t xml:space="preserve">Flow template made by </t>
    </r>
    <r>
      <rPr>
        <b/>
        <sz val="12"/>
        <color theme="1"/>
        <rFont val="Arial"/>
        <family val="2"/>
      </rPr>
      <t>Shreeram Modi</t>
    </r>
    <r>
      <rPr>
        <sz val="12"/>
        <color theme="1"/>
        <rFont val="Arial"/>
        <family val="2"/>
      </rPr>
      <t xml:space="preserve">; </t>
    </r>
    <r>
      <rPr>
        <sz val="12"/>
        <color rgb="FF268BD2"/>
        <rFont val="Arial"/>
        <family val="2"/>
      </rPr>
      <t>debate@smodi.net</t>
    </r>
  </si>
  <si>
    <t>Round:</t>
  </si>
  <si>
    <t>Keybindings</t>
  </si>
  <si>
    <t>Ctrl + Shift + i</t>
  </si>
  <si>
    <t>Insert cell above current cell</t>
  </si>
  <si>
    <t>Ctrl + Shift + o</t>
  </si>
  <si>
    <t>Insert row above current row</t>
  </si>
  <si>
    <t>Ctrl + Shift + k</t>
  </si>
  <si>
    <t>Ctrl + Shift + j</t>
  </si>
  <si>
    <t>Ctrl + Shift + a</t>
  </si>
  <si>
    <t>Ctrl + Shift + h</t>
  </si>
  <si>
    <t>Macro Description</t>
  </si>
  <si>
    <t>Ctrl + Shift + n</t>
  </si>
  <si>
    <t>Ctrl + Shift + x</t>
  </si>
  <si>
    <t>Deletes argument section your cursor is in</t>
  </si>
  <si>
    <t>Creates new argument section, adding horizontal borders across current row</t>
  </si>
  <si>
    <t>Ctrl + Shift + u</t>
  </si>
  <si>
    <t>Extends argument section up 3 rows from cursor</t>
  </si>
  <si>
    <t>Ctrl + Shift + m</t>
  </si>
  <si>
    <t>Extends argument section down 3 rows from cursor</t>
  </si>
  <si>
    <t>Ctrl + Shift + y</t>
  </si>
  <si>
    <t>Ctrl + Shift + e</t>
  </si>
  <si>
    <t>Shift current selection up 1 row</t>
  </si>
  <si>
    <t>Shift current selection down 1 row</t>
  </si>
  <si>
    <t>Shifts argument section down 1 row</t>
  </si>
  <si>
    <t>Shifts argument section up 1 row</t>
  </si>
  <si>
    <t>Alt / Option + Left</t>
  </si>
  <si>
    <t>Alt / Option + Right</t>
  </si>
  <si>
    <t>Features</t>
  </si>
  <si>
    <t>Automatically renames sheets based on A1</t>
  </si>
  <si>
    <t>Go to sheet on left (Mac)</t>
  </si>
  <si>
    <t>Go to sheet on right (Mac)</t>
  </si>
  <si>
    <t>Go to sheet on left (Windows)</t>
  </si>
  <si>
    <t>Go to sheet on right (Windows)</t>
  </si>
  <si>
    <t>Ctrl + PgUp</t>
  </si>
  <si>
    <t>Ctrl + PgDn</t>
  </si>
  <si>
    <t>Highlight the current cell yellow</t>
  </si>
  <si>
    <t>Switch speech automatically places cursor in the correct column on all sheets</t>
  </si>
  <si>
    <t>Make current cell's text black and bold to denote evidence</t>
  </si>
  <si>
    <t>Judge Name:</t>
  </si>
  <si>
    <t>RFD:</t>
  </si>
  <si>
    <t>https://github.com/shreerammodi/debate-flow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</si>
</sst>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2">
    <font>
      <sz val="12"/>
      <color theme="1"/>
      <name val="ArialMT"/>
      <family val="2"/>
    </font>
    <font>
      <sz val="12"/>
      <color rgb="FF268BD2"/>
      <name val="Arial"/>
      <family val="2"/>
    </font>
    <font>
      <sz val="12"/>
      <color rgb="FFDC322F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2"/>
      <color rgb="FF268BD2"/>
      <name val="Arial"/>
      <family val="2"/>
    </font>
    <font>
      <b/>
      <sz val="12"/>
      <color rgb="FFDC322F"/>
      <name val="Arial"/>
      <family val="2"/>
    </font>
    <font>
      <b/>
      <sz val="14"/>
      <color rgb="FF268BD2"/>
      <name val="Arial"/>
      <family val="2"/>
    </font>
    <font>
      <b/>
      <sz val="14"/>
      <color rgb="FFDC322F"/>
      <name val="Arial"/>
      <family val="2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2"/>
      <color theme="10"/>
      <name val="ArialMT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0D0D0"/>
        <bgColor rgb="FF000000"/>
      </patternFill>
    </fill>
    <fill>
      <patternFill patternType="solid">
        <fgColor indexed="9"/>
        <bgColor indexed="64"/>
      </patternFill>
    </fill>
  </fills>
  <borders count="45">
    <border>
      <left/>
      <right/>
      <top/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1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1"/>
      </left>
      <right style="thin">
        <color theme="2" tint="-9.9978637043366805E-2"/>
      </right>
      <top style="thin">
        <color theme="2" tint="-9.9978637043366805E-2"/>
      </top>
      <bottom style="thin">
        <color theme="1"/>
      </bottom>
      <diagonal/>
    </border>
    <border>
      <left style="thin">
        <color theme="2" tint="-9.9978637043366805E-2"/>
      </left>
      <right style="thin">
        <color theme="1"/>
      </right>
      <top style="thin">
        <color theme="2" tint="-9.9978637043366805E-2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2" tint="-9.9978637043366805E-2"/>
      </right>
      <top style="thin">
        <color theme="1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1"/>
      </right>
      <top style="thin">
        <color theme="1"/>
      </top>
      <bottom style="thin">
        <color theme="2" tint="-9.9978637043366805E-2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78637043366805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17600024414813E-2"/>
      </left>
      <right/>
      <top/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78637043366805E-2"/>
      </top>
      <bottom/>
      <diagonal/>
    </border>
    <border>
      <left style="thin">
        <color theme="2" tint="-9.9917600024414813E-2"/>
      </left>
      <right/>
      <top/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17">
    <xf numFmtId="0" fontId="0" fillId="0" borderId="0" xfId="0"/>
    <xf numFmtId="0" fontId="1" fillId="2" borderId="3" xfId="0" applyFont="1" applyFill="1" applyBorder="1" applyAlignment="1" applyProtection="1">
      <alignment horizontal="left"/>
      <protection locked="0"/>
    </xf>
    <xf numFmtId="0" fontId="1" fillId="2" borderId="2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0" fontId="1" fillId="2" borderId="0" xfId="0" applyFont="1" applyFill="1" applyAlignment="1" applyProtection="1">
      <alignment horizontal="left"/>
      <protection locked="0"/>
    </xf>
    <xf numFmtId="0" fontId="2" fillId="2" borderId="3" xfId="0" applyFont="1" applyFill="1" applyBorder="1" applyAlignment="1" applyProtection="1">
      <alignment horizontal="left"/>
      <protection locked="0"/>
    </xf>
    <xf numFmtId="0" fontId="2" fillId="2" borderId="2" xfId="0" applyFont="1" applyFill="1" applyBorder="1" applyAlignment="1" applyProtection="1">
      <alignment horizontal="left"/>
      <protection locked="0"/>
    </xf>
    <xf numFmtId="0" fontId="2" fillId="2" borderId="1" xfId="0" applyFont="1" applyFill="1" applyBorder="1" applyAlignment="1" applyProtection="1">
      <alignment horizontal="left"/>
      <protection locked="0"/>
    </xf>
    <xf numFmtId="0" fontId="2" fillId="2" borderId="0" xfId="0" applyFont="1" applyFill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0" fontId="3" fillId="2" borderId="0" xfId="0" applyFont="1" applyFill="1" applyAlignment="1" applyProtection="1">
      <alignment horizontal="left"/>
      <protection locked="0"/>
    </xf>
    <xf numFmtId="0" fontId="3" fillId="2" borderId="5" xfId="0" applyFont="1" applyFill="1" applyBorder="1" applyAlignment="1" applyProtection="1">
      <alignment horizontal="left"/>
      <protection locked="0"/>
    </xf>
    <xf numFmtId="0" fontId="3" fillId="2" borderId="4" xfId="0" applyFont="1" applyFill="1" applyBorder="1" applyAlignment="1" applyProtection="1">
      <alignment horizontal="left"/>
      <protection locked="0"/>
    </xf>
    <xf numFmtId="0" fontId="3" fillId="2" borderId="7" xfId="0" applyFont="1" applyFill="1" applyBorder="1" applyAlignment="1" applyProtection="1">
      <alignment horizontal="left"/>
      <protection locked="0"/>
    </xf>
    <xf numFmtId="20" fontId="2" fillId="2" borderId="0" xfId="0" applyNumberFormat="1" applyFont="1" applyFill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4" fillId="3" borderId="0" xfId="0" applyFont="1" applyFill="1"/>
    <xf numFmtId="0" fontId="9" fillId="3" borderId="0" xfId="0" applyFont="1" applyFill="1" applyAlignment="1">
      <alignment horizontal="right"/>
    </xf>
    <xf numFmtId="0" fontId="9" fillId="3" borderId="0" xfId="0" applyFont="1" applyFill="1"/>
    <xf numFmtId="0" fontId="4" fillId="3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4" fillId="2" borderId="0" xfId="0" applyFont="1" applyFill="1" applyAlignment="1">
      <alignment wrapText="1"/>
    </xf>
    <xf numFmtId="0" fontId="6" fillId="2" borderId="2" xfId="0" applyFont="1" applyFill="1" applyBorder="1" applyAlignment="1">
      <alignment horizontal="center" wrapText="1"/>
    </xf>
    <xf numFmtId="0" fontId="2" fillId="2" borderId="0" xfId="0" applyFont="1" applyFill="1" applyAlignment="1">
      <alignment wrapText="1"/>
    </xf>
    <xf numFmtId="0" fontId="6" fillId="2" borderId="3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wrapText="1"/>
    </xf>
    <xf numFmtId="0" fontId="5" fillId="2" borderId="3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5" fillId="2" borderId="2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0" fontId="4" fillId="3" borderId="8" xfId="0" applyFont="1" applyFill="1" applyBorder="1"/>
    <xf numFmtId="0" fontId="9" fillId="3" borderId="16" xfId="0" applyFont="1" applyFill="1" applyBorder="1" applyAlignment="1">
      <alignment horizontal="right"/>
    </xf>
    <xf numFmtId="0" fontId="9" fillId="3" borderId="18" xfId="0" applyFont="1" applyFill="1" applyBorder="1" applyAlignment="1">
      <alignment horizontal="right"/>
    </xf>
    <xf numFmtId="0" fontId="4" fillId="3" borderId="23" xfId="0" applyFont="1" applyFill="1" applyBorder="1"/>
    <xf numFmtId="0" fontId="9" fillId="3" borderId="22" xfId="0" applyFont="1" applyFill="1" applyBorder="1" applyAlignment="1">
      <alignment horizontal="center" vertical="center"/>
    </xf>
    <xf numFmtId="0" fontId="4" fillId="3" borderId="17" xfId="0" applyFon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3" borderId="19" xfId="0" applyFon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33" xfId="0" applyFont="1" applyBorder="1" applyAlignment="1">
      <alignment wrapText="1"/>
    </xf>
    <xf numFmtId="0" fontId="4" fillId="2" borderId="34" xfId="0" applyFont="1" applyFill="1" applyBorder="1"/>
    <xf numFmtId="0" fontId="5" fillId="2" borderId="34" xfId="0" applyFont="1" applyFill="1" applyBorder="1" applyAlignment="1">
      <alignment horizontal="center" wrapText="1"/>
    </xf>
    <xf numFmtId="0" fontId="6" fillId="2" borderId="34" xfId="0" applyFont="1" applyFill="1" applyBorder="1" applyAlignment="1">
      <alignment horizontal="center" wrapText="1"/>
    </xf>
    <xf numFmtId="0" fontId="1" fillId="2" borderId="34" xfId="0" applyFont="1" applyFill="1" applyBorder="1" applyAlignment="1">
      <alignment wrapText="1"/>
    </xf>
    <xf numFmtId="0" fontId="2" fillId="2" borderId="34" xfId="0" applyFont="1" applyFill="1" applyBorder="1" applyAlignment="1">
      <alignment wrapText="1"/>
    </xf>
    <xf numFmtId="0" fontId="5" fillId="2" borderId="36" xfId="0" applyFont="1" applyFill="1" applyBorder="1" applyAlignment="1">
      <alignment horizontal="center" wrapText="1"/>
    </xf>
    <xf numFmtId="0" fontId="2" fillId="2" borderId="37" xfId="0" applyFont="1" applyFill="1" applyBorder="1" applyAlignment="1">
      <alignment wrapText="1"/>
    </xf>
    <xf numFmtId="0" fontId="2" fillId="2" borderId="38" xfId="0" applyFont="1" applyFill="1" applyBorder="1" applyAlignment="1">
      <alignment wrapText="1"/>
    </xf>
    <xf numFmtId="0" fontId="5" fillId="2" borderId="39" xfId="0" applyFont="1" applyFill="1" applyBorder="1" applyAlignment="1">
      <alignment horizontal="center" wrapText="1"/>
    </xf>
    <xf numFmtId="0" fontId="1" fillId="5" borderId="40" xfId="0" applyFont="1" applyFill="1" applyBorder="1" applyAlignment="1">
      <alignment wrapText="1"/>
    </xf>
    <xf numFmtId="0" fontId="1" fillId="2" borderId="38" xfId="0" applyFont="1" applyFill="1" applyBorder="1" applyAlignment="1">
      <alignment wrapText="1"/>
    </xf>
    <xf numFmtId="0" fontId="1" fillId="2" borderId="37" xfId="0" applyFont="1" applyFill="1" applyBorder="1" applyAlignment="1">
      <alignment wrapText="1"/>
    </xf>
    <xf numFmtId="0" fontId="6" fillId="2" borderId="39" xfId="0" applyFont="1" applyFill="1" applyBorder="1" applyAlignment="1">
      <alignment horizontal="center" wrapText="1"/>
    </xf>
    <xf numFmtId="0" fontId="9" fillId="0" borderId="2" xfId="0" applyFont="1" applyBorder="1" applyAlignment="1">
      <alignment horizontal="right" wrapText="1"/>
    </xf>
    <xf numFmtId="0" fontId="4" fillId="0" borderId="44" xfId="0" applyFont="1" applyBorder="1" applyAlignment="1">
      <alignment wrapText="1"/>
    </xf>
    <xf numFmtId="0" fontId="4" fillId="0" borderId="2" xfId="0" applyFont="1" applyBorder="1" applyAlignment="1">
      <alignment wrapText="1"/>
    </xf>
    <xf numFmtId="0" fontId="9" fillId="0" borderId="7" xfId="0" applyFont="1" applyBorder="1" applyAlignment="1">
      <alignment horizontal="right" wrapText="1"/>
    </xf>
    <xf numFmtId="0" fontId="3" fillId="2" borderId="4" xfId="0" applyFont="1" applyFill="1" applyBorder="1" applyAlignment="1" applyProtection="1">
      <alignment horizontal="left" wrapText="1"/>
      <protection locked="0"/>
    </xf>
    <xf numFmtId="0" fontId="4" fillId="0" borderId="7" xfId="0" applyFont="1" applyBorder="1" applyAlignment="1">
      <alignment wrapText="1"/>
    </xf>
    <xf numFmtId="0" fontId="9" fillId="0" borderId="0" xfId="0" applyFont="1" applyAlignment="1">
      <alignment horizontal="right" wrapText="1"/>
    </xf>
    <xf numFmtId="0" fontId="4" fillId="0" borderId="43" xfId="0" applyFont="1" applyBorder="1" applyAlignment="1">
      <alignment wrapText="1"/>
    </xf>
    <xf numFmtId="0" fontId="4" fillId="0" borderId="0" xfId="0" applyFont="1" applyAlignment="1">
      <alignment wrapText="1"/>
    </xf>
    <xf numFmtId="0" fontId="10" fillId="4" borderId="29" xfId="0" applyFont="1" applyFill="1" applyBorder="1" applyAlignment="1">
      <alignment horizontal="center" vertical="center"/>
    </xf>
    <xf numFmtId="0" fontId="10" fillId="4" borderId="3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left" vertical="center" wrapText="1"/>
    </xf>
    <xf numFmtId="0" fontId="4" fillId="3" borderId="22" xfId="0" applyFont="1" applyFill="1" applyBorder="1" applyAlignment="1">
      <alignment horizontal="left" wrapText="1"/>
    </xf>
    <xf numFmtId="0" fontId="4" fillId="3" borderId="29" xfId="0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23" xfId="0" applyFont="1" applyFill="1" applyBorder="1" applyAlignment="1">
      <alignment horizontal="left" vertical="center"/>
    </xf>
    <xf numFmtId="0" fontId="4" fillId="3" borderId="26" xfId="0" applyFont="1" applyFill="1" applyBorder="1" applyAlignment="1">
      <alignment horizontal="left" vertical="center"/>
    </xf>
    <xf numFmtId="0" fontId="4" fillId="3" borderId="27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 wrapText="1"/>
    </xf>
    <xf numFmtId="0" fontId="4" fillId="3" borderId="23" xfId="0" applyFont="1" applyFill="1" applyBorder="1" applyAlignment="1">
      <alignment horizontal="left" vertical="center" wrapText="1"/>
    </xf>
    <xf numFmtId="0" fontId="4" fillId="3" borderId="26" xfId="0" applyFont="1" applyFill="1" applyBorder="1" applyAlignment="1">
      <alignment horizontal="left" vertical="center" wrapText="1"/>
    </xf>
    <xf numFmtId="0" fontId="4" fillId="3" borderId="27" xfId="0" applyFont="1" applyFill="1" applyBorder="1" applyAlignment="1">
      <alignment horizontal="left" vertical="center" wrapText="1"/>
    </xf>
    <xf numFmtId="0" fontId="4" fillId="3" borderId="24" xfId="0" applyFont="1" applyFill="1" applyBorder="1" applyAlignment="1">
      <alignment horizontal="left" vertical="center"/>
    </xf>
    <xf numFmtId="0" fontId="4" fillId="3" borderId="25" xfId="0" applyFont="1" applyFill="1" applyBorder="1" applyAlignment="1">
      <alignment horizontal="left" vertical="center"/>
    </xf>
    <xf numFmtId="0" fontId="4" fillId="3" borderId="30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0" fontId="4" fillId="3" borderId="0" xfId="0" applyFont="1" applyFill="1"/>
    <xf numFmtId="0" fontId="9" fillId="3" borderId="22" xfId="0" applyFont="1" applyFill="1" applyBorder="1" applyAlignment="1">
      <alignment horizontal="center" vertical="center"/>
    </xf>
    <xf numFmtId="0" fontId="5" fillId="3" borderId="0" xfId="0" applyFont="1" applyFill="1"/>
    <xf numFmtId="0" fontId="6" fillId="3" borderId="0" xfId="0" applyFont="1" applyFill="1"/>
    <xf numFmtId="0" fontId="4" fillId="2" borderId="4" xfId="0" applyFont="1" applyFill="1" applyBorder="1" applyProtection="1">
      <protection locked="0"/>
    </xf>
    <xf numFmtId="0" fontId="9" fillId="3" borderId="8" xfId="0" applyFont="1" applyFill="1" applyBorder="1" applyAlignment="1">
      <alignment horizontal="center"/>
    </xf>
    <xf numFmtId="0" fontId="1" fillId="2" borderId="0" xfId="0" applyFont="1" applyFill="1" applyAlignment="1" applyProtection="1">
      <alignment horizontal="left"/>
      <protection locked="0"/>
    </xf>
    <xf numFmtId="0" fontId="2" fillId="2" borderId="0" xfId="0" applyFont="1" applyFill="1" applyAlignment="1" applyProtection="1">
      <alignment horizontal="left"/>
      <protection locked="0"/>
    </xf>
    <xf numFmtId="0" fontId="4" fillId="2" borderId="2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4" fillId="2" borderId="7" xfId="0" applyFont="1" applyFill="1" applyBorder="1" applyProtection="1">
      <protection locked="0"/>
    </xf>
    <xf numFmtId="0" fontId="4" fillId="2" borderId="6" xfId="0" applyFont="1" applyFill="1" applyBorder="1" applyProtection="1">
      <protection locked="0"/>
    </xf>
    <xf numFmtId="164" fontId="4" fillId="2" borderId="4" xfId="0" applyNumberFormat="1" applyFont="1" applyFill="1" applyBorder="1" applyProtection="1">
      <protection locked="0"/>
    </xf>
    <xf numFmtId="0" fontId="4" fillId="3" borderId="14" xfId="0" applyFont="1" applyFill="1" applyBorder="1" applyAlignment="1">
      <alignment wrapText="1"/>
    </xf>
    <xf numFmtId="0" fontId="4" fillId="3" borderId="15" xfId="0" applyFont="1" applyFill="1" applyBorder="1" applyAlignment="1">
      <alignment wrapText="1"/>
    </xf>
    <xf numFmtId="0" fontId="4" fillId="3" borderId="10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9" fillId="3" borderId="12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4" fillId="3" borderId="42" xfId="0" applyFont="1" applyFill="1" applyBorder="1" applyAlignment="1">
      <alignment horizontal="center" wrapText="1"/>
    </xf>
    <xf numFmtId="0" fontId="10" fillId="4" borderId="29" xfId="0" applyFont="1" applyFill="1" applyBorder="1" applyAlignment="1">
      <alignment horizontal="center" vertical="center" wrapText="1"/>
    </xf>
    <xf numFmtId="0" fontId="10" fillId="4" borderId="31" xfId="0" applyFont="1" applyFill="1" applyBorder="1" applyAlignment="1">
      <alignment horizontal="center" vertical="center" wrapText="1"/>
    </xf>
    <xf numFmtId="0" fontId="9" fillId="3" borderId="22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4" fillId="3" borderId="4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11" fillId="3" borderId="0" xfId="1" applyFill="1"/>
    <xf numFmtId="0" fontId="0" fillId="3" borderId="0" xfId="0" applyFill="1"/>
    <xf numFmtId="0" fontId="7" fillId="2" borderId="35" xfId="0" applyFont="1" applyFill="1" applyBorder="1" applyAlignment="1">
      <alignment horizontal="center" wrapText="1"/>
    </xf>
    <xf numFmtId="0" fontId="8" fillId="2" borderId="34" xfId="0" applyFont="1" applyFill="1" applyBorder="1" applyAlignment="1">
      <alignment horizontal="center" wrapText="1"/>
    </xf>
    <xf numFmtId="0" fontId="9" fillId="2" borderId="2" xfId="0" applyFont="1" applyFill="1" applyBorder="1" applyAlignment="1">
      <alignment horizontal="center" wrapText="1"/>
    </xf>
    <xf numFmtId="0" fontId="9" fillId="2" borderId="3" xfId="0" applyFont="1" applyFill="1" applyBorder="1" applyAlignment="1">
      <alignment horizontal="center" wrapText="1"/>
    </xf>
    <xf numFmtId="0" fontId="9" fillId="2" borderId="9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10">
    <dxf>
      <font>
        <color rgb="FFDC322F"/>
      </font>
    </dxf>
    <dxf>
      <font>
        <color rgb="FF268BD2"/>
      </font>
    </dxf>
    <dxf>
      <font>
        <color rgb="FFDC322F"/>
      </font>
    </dxf>
    <dxf>
      <font>
        <color rgb="FF268BD2"/>
      </font>
    </dxf>
    <dxf>
      <font>
        <color rgb="FFDC322F"/>
      </font>
    </dxf>
    <dxf>
      <font>
        <color rgb="FF268BD2"/>
      </font>
    </dxf>
    <dxf>
      <font>
        <color rgb="FFDC322F"/>
      </font>
    </dxf>
    <dxf>
      <font>
        <color rgb="FF268BD2"/>
      </font>
    </dxf>
    <dxf>
      <font>
        <color rgb="FFDC322F"/>
      </font>
    </dxf>
    <dxf>
      <font>
        <color rgb="FF268BD2"/>
      </font>
    </dxf>
  </dxfs>
  <tableStyles count="0" defaultTableStyle="TableStyleMedium2" defaultPivotStyle="PivotStyleLight16"/>
  <colors>
    <mruColors>
      <color rgb="FF268BD2"/>
      <color rgb="FF6C71C4"/>
      <color rgb="FFD33682"/>
      <color rgb="FFEEE8D5"/>
      <color rgb="FF859900"/>
      <color rgb="FFDC322F"/>
      <color rgb="FF657B83"/>
      <color rgb="FF586E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1268984</xdr:colOff>
      <xdr:row>21</xdr:row>
      <xdr:rowOff>0</xdr:rowOff>
    </xdr:from>
    <xdr:ext cx="1271016" cy="457200"/>
    <xdr:sp macro="[0]!CreateNEGSheets" textlink="">
      <xdr:nvSpPr>
        <xdr:cNvPr id="8" name="TextBox 7">
          <a:extLst>
            <a:ext uri="{FF2B5EF4-FFF2-40B4-BE49-F238E27FC236}">
              <a16:creationId xmlns:a16="http://schemas.microsoft.com/office/drawing/2014/main" id="{4C4A6693-4482-7476-FC84-D9E05E844FA4}"/>
            </a:ext>
          </a:extLst>
        </xdr:cNvPr>
        <xdr:cNvSpPr txBox="1"/>
      </xdr:nvSpPr>
      <xdr:spPr>
        <a:xfrm>
          <a:off x="8643178" y="4301613"/>
          <a:ext cx="1271016" cy="457200"/>
        </a:xfrm>
        <a:prstGeom prst="rect">
          <a:avLst/>
        </a:prstGeom>
        <a:solidFill>
          <a:srgbClr val="DC322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100" b="1">
              <a:solidFill>
                <a:srgbClr val="EEE8D5"/>
              </a:solidFill>
              <a:latin typeface="Arial" panose="020B0604020202020204" pitchFamily="34" charset="0"/>
              <a:cs typeface="Arial" panose="020B0604020202020204" pitchFamily="34" charset="0"/>
            </a:rPr>
            <a:t>Create NEG</a:t>
          </a:r>
        </a:p>
        <a:p>
          <a:pPr algn="ctr"/>
          <a:r>
            <a:rPr lang="en-US" sz="1100" b="1">
              <a:solidFill>
                <a:srgbClr val="EEE8D5"/>
              </a:solidFill>
              <a:latin typeface="Arial" panose="020B0604020202020204" pitchFamily="34" charset="0"/>
              <a:cs typeface="Arial" panose="020B0604020202020204" pitchFamily="34" charset="0"/>
            </a:rPr>
            <a:t>Sheets</a:t>
          </a:r>
        </a:p>
      </xdr:txBody>
    </xdr:sp>
    <xdr:clientData/>
  </xdr:oneCellAnchor>
  <xdr:oneCellAnchor>
    <xdr:from>
      <xdr:col>7</xdr:col>
      <xdr:colOff>0</xdr:colOff>
      <xdr:row>20</xdr:row>
      <xdr:rowOff>203199</xdr:rowOff>
    </xdr:from>
    <xdr:ext cx="1271016" cy="457200"/>
    <xdr:sp macro="[0]!CreateAFFSheets" textlink="">
      <xdr:nvSpPr>
        <xdr:cNvPr id="9" name="TextBox 8">
          <a:extLst>
            <a:ext uri="{FF2B5EF4-FFF2-40B4-BE49-F238E27FC236}">
              <a16:creationId xmlns:a16="http://schemas.microsoft.com/office/drawing/2014/main" id="{A847D501-B244-F7ED-3F08-463D1920790E}"/>
            </a:ext>
          </a:extLst>
        </xdr:cNvPr>
        <xdr:cNvSpPr txBox="1"/>
      </xdr:nvSpPr>
      <xdr:spPr>
        <a:xfrm>
          <a:off x="7366000" y="4267199"/>
          <a:ext cx="1271016" cy="457200"/>
        </a:xfrm>
        <a:prstGeom prst="rect">
          <a:avLst/>
        </a:prstGeom>
        <a:solidFill>
          <a:srgbClr val="268BD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 b="1">
              <a:solidFill>
                <a:srgbClr val="EEE8D5"/>
              </a:solidFill>
              <a:latin typeface="Arial" panose="020B0604020202020204" pitchFamily="34" charset="0"/>
              <a:cs typeface="Arial" panose="020B0604020202020204" pitchFamily="34" charset="0"/>
            </a:rPr>
            <a:t>Create AFF</a:t>
          </a:r>
        </a:p>
        <a:p>
          <a:pPr algn="ctr"/>
          <a:r>
            <a:rPr lang="en-US" sz="1100" b="1">
              <a:solidFill>
                <a:srgbClr val="EEE8D5"/>
              </a:solidFill>
              <a:latin typeface="Arial" panose="020B0604020202020204" pitchFamily="34" charset="0"/>
              <a:cs typeface="Arial" panose="020B0604020202020204" pitchFamily="34" charset="0"/>
            </a:rPr>
            <a:t>Sheets</a:t>
          </a:r>
        </a:p>
      </xdr:txBody>
    </xdr:sp>
    <xdr:clientData/>
  </xdr:oneCellAnchor>
  <xdr:twoCellAnchor>
    <xdr:from>
      <xdr:col>3</xdr:col>
      <xdr:colOff>431800</xdr:colOff>
      <xdr:row>29</xdr:row>
      <xdr:rowOff>0</xdr:rowOff>
    </xdr:from>
    <xdr:to>
      <xdr:col>4</xdr:col>
      <xdr:colOff>1066800</xdr:colOff>
      <xdr:row>32</xdr:row>
      <xdr:rowOff>0</xdr:rowOff>
    </xdr:to>
    <xdr:sp macro="[0]!SwitchSpeech" textlink="">
      <xdr:nvSpPr>
        <xdr:cNvPr id="6" name="TextBox 5">
          <a:extLst>
            <a:ext uri="{FF2B5EF4-FFF2-40B4-BE49-F238E27FC236}">
              <a16:creationId xmlns:a16="http://schemas.microsoft.com/office/drawing/2014/main" id="{2253C0F7-0DB1-B9D3-E01B-B155E25A515F}"/>
            </a:ext>
          </a:extLst>
        </xdr:cNvPr>
        <xdr:cNvSpPr txBox="1"/>
      </xdr:nvSpPr>
      <xdr:spPr>
        <a:xfrm>
          <a:off x="3352800" y="5892800"/>
          <a:ext cx="1905000" cy="609600"/>
        </a:xfrm>
        <a:prstGeom prst="rect">
          <a:avLst/>
        </a:prstGeom>
        <a:solidFill>
          <a:srgbClr val="8599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rgbClr val="EEE8D5"/>
              </a:solidFill>
              <a:latin typeface="Arial" panose="020B0604020202020204" pitchFamily="34" charset="0"/>
              <a:cs typeface="Arial" panose="020B0604020202020204" pitchFamily="34" charset="0"/>
            </a:rPr>
            <a:t>Switch Speech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thub.com/shreerammodi/debate-flo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77A03-9DDE-5944-9D6D-E2FCA16B87D3}">
  <sheetPr codeName="Sheet1">
    <tabColor rgb="FF657B83"/>
  </sheetPr>
  <dimension ref="B2:R44"/>
  <sheetViews>
    <sheetView showRowColHeaders="0" tabSelected="1" zoomScaleNormal="100" workbookViewId="0">
      <selection activeCell="D5" sqref="D5:E5"/>
    </sheetView>
  </sheetViews>
  <sheetFormatPr baseColWidth="10" defaultRowHeight="16"/>
  <cols>
    <col min="1" max="2" width="10.7109375" style="16" customWidth="1"/>
    <col min="3" max="3" width="11.42578125" style="16" bestFit="1" customWidth="1"/>
    <col min="4" max="5" width="14.28515625" style="16" customWidth="1"/>
    <col min="6" max="6" width="10.7109375" style="16" customWidth="1"/>
    <col min="7" max="7" width="11.42578125" style="16" customWidth="1"/>
    <col min="8" max="9" width="14.28515625" style="16" customWidth="1"/>
    <col min="10" max="10" width="10.7109375" style="16" customWidth="1"/>
    <col min="11" max="11" width="12.140625" style="16" customWidth="1"/>
    <col min="12" max="12" width="10.7109375" style="16" customWidth="1"/>
    <col min="13" max="16384" width="10.7109375" style="16"/>
  </cols>
  <sheetData>
    <row r="2" spans="3:14" ht="20" customHeight="1">
      <c r="K2" s="34" t="s">
        <v>35</v>
      </c>
      <c r="L2" s="80" t="s">
        <v>44</v>
      </c>
      <c r="M2" s="80"/>
      <c r="N2" s="80"/>
    </row>
    <row r="3" spans="3:14">
      <c r="D3" s="81" t="str">
        <f>IF(
AND(E8&lt;&gt;"", E9&lt;&gt;""),
IF(E8&lt;E9,
D5&amp;" "&amp;LEFT(E8, 1)&amp;LEFT(E9, 1),
D5&amp;" "&amp;LEFT(E9, 1)&amp;LEFT(E8, 1)),
D5&amp;" "&amp;LEFT(D8, 1)&amp;LEFT(E8, 1))</f>
        <v xml:space="preserve"> </v>
      </c>
      <c r="E3" s="81"/>
      <c r="H3" s="82" t="str">
        <f>IF(
AND(I8&lt;&gt;"", I9&lt;&gt;""),
IF(I8&lt;I9,
H5&amp;" "&amp;LEFT(I8, 1)&amp;LEFT(I9, 1),
H5&amp;" "&amp;LEFT(I9, 1)&amp;LEFT(I8, 1)),
H5&amp;" "&amp;LEFT(H8, 1)&amp;LEFT(I8, 1))</f>
        <v xml:space="preserve"> </v>
      </c>
      <c r="I3" s="82"/>
      <c r="J3" s="33"/>
      <c r="K3" s="64" t="s">
        <v>36</v>
      </c>
      <c r="L3" s="74" t="s">
        <v>37</v>
      </c>
      <c r="M3" s="74"/>
      <c r="N3" s="75"/>
    </row>
    <row r="4" spans="3:14">
      <c r="J4" s="33"/>
      <c r="K4" s="65"/>
      <c r="L4" s="68"/>
      <c r="M4" s="68"/>
      <c r="N4" s="69"/>
    </row>
    <row r="5" spans="3:14">
      <c r="C5" s="17" t="s">
        <v>3</v>
      </c>
      <c r="D5" s="85"/>
      <c r="E5" s="85"/>
      <c r="G5" s="17" t="s">
        <v>2</v>
      </c>
      <c r="H5" s="86"/>
      <c r="I5" s="86"/>
      <c r="J5" s="33"/>
      <c r="K5" s="76" t="s">
        <v>38</v>
      </c>
      <c r="L5" s="66" t="s">
        <v>39</v>
      </c>
      <c r="M5" s="66"/>
      <c r="N5" s="67"/>
    </row>
    <row r="6" spans="3:14">
      <c r="J6" s="33"/>
      <c r="K6" s="65"/>
      <c r="L6" s="68"/>
      <c r="M6" s="68"/>
      <c r="N6" s="69"/>
    </row>
    <row r="7" spans="3:14">
      <c r="D7" s="18" t="s">
        <v>0</v>
      </c>
      <c r="E7" s="18" t="s">
        <v>1</v>
      </c>
      <c r="H7" s="18" t="s">
        <v>0</v>
      </c>
      <c r="I7" s="18" t="s">
        <v>1</v>
      </c>
      <c r="J7" s="33"/>
      <c r="K7" s="76" t="s">
        <v>40</v>
      </c>
      <c r="L7" s="66" t="s">
        <v>55</v>
      </c>
      <c r="M7" s="66"/>
      <c r="N7" s="67"/>
    </row>
    <row r="8" spans="3:14">
      <c r="C8" s="17" t="s">
        <v>4</v>
      </c>
      <c r="D8" s="1"/>
      <c r="E8" s="2"/>
      <c r="G8" s="17" t="s">
        <v>7</v>
      </c>
      <c r="H8" s="5"/>
      <c r="I8" s="6"/>
      <c r="J8" s="33"/>
      <c r="K8" s="65"/>
      <c r="L8" s="68"/>
      <c r="M8" s="68"/>
      <c r="N8" s="69"/>
    </row>
    <row r="9" spans="3:14">
      <c r="C9" s="17" t="s">
        <v>5</v>
      </c>
      <c r="D9" s="3"/>
      <c r="E9" s="4"/>
      <c r="G9" s="17" t="s">
        <v>6</v>
      </c>
      <c r="H9" s="7"/>
      <c r="I9" s="8"/>
      <c r="J9" s="33"/>
      <c r="K9" s="76" t="s">
        <v>41</v>
      </c>
      <c r="L9" s="66" t="s">
        <v>56</v>
      </c>
      <c r="M9" s="66"/>
      <c r="N9" s="67"/>
    </row>
    <row r="10" spans="3:14">
      <c r="J10" s="33"/>
      <c r="K10" s="76"/>
      <c r="L10" s="68"/>
      <c r="M10" s="68"/>
      <c r="N10" s="69"/>
    </row>
    <row r="11" spans="3:14">
      <c r="C11" s="17" t="s">
        <v>8</v>
      </c>
      <c r="D11" s="83"/>
      <c r="E11" s="83"/>
      <c r="K11" s="64" t="s">
        <v>42</v>
      </c>
      <c r="L11" s="70" t="s">
        <v>71</v>
      </c>
      <c r="M11" s="70"/>
      <c r="N11" s="71"/>
    </row>
    <row r="12" spans="3:14">
      <c r="C12" s="17" t="s">
        <v>34</v>
      </c>
      <c r="D12" s="83"/>
      <c r="E12" s="83"/>
      <c r="K12" s="65"/>
      <c r="L12" s="72"/>
      <c r="M12" s="72"/>
      <c r="N12" s="73"/>
    </row>
    <row r="13" spans="3:14">
      <c r="C13" s="17" t="s">
        <v>9</v>
      </c>
      <c r="D13" s="93"/>
      <c r="E13" s="93"/>
      <c r="K13" s="64" t="s">
        <v>43</v>
      </c>
      <c r="L13" s="66" t="s">
        <v>69</v>
      </c>
      <c r="M13" s="66"/>
      <c r="N13" s="67"/>
    </row>
    <row r="14" spans="3:14">
      <c r="K14" s="65"/>
      <c r="L14" s="68"/>
      <c r="M14" s="68"/>
      <c r="N14" s="69"/>
    </row>
    <row r="15" spans="3:14">
      <c r="D15" s="18" t="s">
        <v>10</v>
      </c>
      <c r="F15" s="18" t="s">
        <v>11</v>
      </c>
      <c r="H15" s="17" t="s">
        <v>12</v>
      </c>
      <c r="I15" s="19" t="str">
        <f xml:space="preserve">
IF(
    AND(COUNTIF(F16:F22,"AFF")=0, COUNTIF(F16:F22,"NEG")=0),"",
IF(
    AND(COUNTIF(F16:F22,"AFF")=COUNTIF(F16:F22,"NEG")),
    COUNTIF(F16:F22,"AFF")&amp;"-"&amp;COUNTIF(F16:F22,"NEG"),
IF(
    AND(COUNTIF(F16:F22,"AFF")=1,COUNTIF(F16:F22,"NEG")=0),"AFF",
IF(
    AND(COUNTIF(F16:F22,"NEG")=1,COUNTIF(F16:F22,"AFF")=0),"NEG",
MAX(COUNTIF(F16:F22,"AFF"),COUNTIF(F16:F22,"NEG"))
&amp;"-"&amp;
MIN(COUNTIF(F16:F22,"AFF"),COUNTIF(F16:F22,"NEG"))
&amp;" "&amp;
IF(
    COUNTIF(F16:F22,"AFF")&gt;COUNTIF(F16:F22,"NEG"),"AFF","NEG")
))))</f>
        <v/>
      </c>
    </row>
    <row r="16" spans="3:14">
      <c r="D16" s="87"/>
      <c r="E16" s="88"/>
      <c r="F16" s="9"/>
    </row>
    <row r="17" spans="2:14">
      <c r="D17" s="91"/>
      <c r="E17" s="92"/>
      <c r="F17" s="13"/>
      <c r="K17" s="64" t="s">
        <v>45</v>
      </c>
      <c r="L17" s="62" t="s">
        <v>48</v>
      </c>
      <c r="M17" s="62"/>
      <c r="N17" s="62"/>
    </row>
    <row r="18" spans="2:14">
      <c r="D18" s="91"/>
      <c r="E18" s="92"/>
      <c r="F18" s="10"/>
      <c r="K18" s="65"/>
      <c r="L18" s="62"/>
      <c r="M18" s="62"/>
      <c r="N18" s="62"/>
    </row>
    <row r="19" spans="2:14">
      <c r="D19" s="91"/>
      <c r="E19" s="92"/>
      <c r="F19" s="11"/>
      <c r="K19" s="60" t="s">
        <v>46</v>
      </c>
      <c r="L19" s="63" t="s">
        <v>47</v>
      </c>
      <c r="M19" s="63"/>
      <c r="N19" s="63"/>
    </row>
    <row r="20" spans="2:14">
      <c r="D20" s="91"/>
      <c r="E20" s="92"/>
      <c r="F20" s="12"/>
      <c r="H20" s="17" t="s">
        <v>23</v>
      </c>
      <c r="I20" s="9"/>
      <c r="K20" s="61"/>
      <c r="L20" s="63"/>
      <c r="M20" s="63"/>
      <c r="N20" s="63"/>
    </row>
    <row r="21" spans="2:14">
      <c r="D21" s="87"/>
      <c r="E21" s="88"/>
      <c r="F21" s="9"/>
      <c r="K21" s="60" t="s">
        <v>49</v>
      </c>
      <c r="L21" s="62" t="s">
        <v>50</v>
      </c>
      <c r="M21" s="62"/>
      <c r="N21" s="62"/>
    </row>
    <row r="22" spans="2:14">
      <c r="D22" s="89"/>
      <c r="E22" s="90"/>
      <c r="F22" s="10"/>
      <c r="K22" s="61"/>
      <c r="L22" s="62"/>
      <c r="M22" s="62"/>
      <c r="N22" s="62"/>
    </row>
    <row r="23" spans="2:14">
      <c r="K23" s="60" t="s">
        <v>51</v>
      </c>
      <c r="L23" s="63" t="s">
        <v>52</v>
      </c>
      <c r="M23" s="63"/>
      <c r="N23" s="63"/>
    </row>
    <row r="24" spans="2:14">
      <c r="H24" s="30"/>
      <c r="I24" s="30"/>
      <c r="K24" s="61"/>
      <c r="L24" s="63"/>
      <c r="M24" s="63"/>
      <c r="N24" s="63"/>
    </row>
    <row r="25" spans="2:14">
      <c r="D25" s="84" t="s">
        <v>15</v>
      </c>
      <c r="E25" s="84"/>
      <c r="H25" s="98" t="s">
        <v>24</v>
      </c>
      <c r="I25" s="99"/>
      <c r="K25" s="60" t="s">
        <v>53</v>
      </c>
      <c r="L25" s="62" t="s">
        <v>58</v>
      </c>
      <c r="M25" s="62"/>
      <c r="N25" s="62"/>
    </row>
    <row r="26" spans="2:14">
      <c r="D26" s="20" t="s">
        <v>14</v>
      </c>
      <c r="E26" s="20" t="s">
        <v>13</v>
      </c>
      <c r="H26" s="94" t="s">
        <v>31</v>
      </c>
      <c r="I26" s="95"/>
      <c r="K26" s="61"/>
      <c r="L26" s="62"/>
      <c r="M26" s="62"/>
      <c r="N26" s="62"/>
    </row>
    <row r="27" spans="2:14">
      <c r="D27" s="15"/>
      <c r="E27" s="14"/>
      <c r="H27" s="96"/>
      <c r="I27" s="97"/>
      <c r="K27" s="60" t="s">
        <v>54</v>
      </c>
      <c r="L27" s="62" t="s">
        <v>57</v>
      </c>
      <c r="M27" s="62"/>
      <c r="N27" s="62"/>
    </row>
    <row r="28" spans="2:14">
      <c r="K28" s="61"/>
      <c r="L28" s="62"/>
      <c r="M28" s="62"/>
      <c r="N28" s="62"/>
    </row>
    <row r="30" spans="2:14">
      <c r="B30" s="77" t="s">
        <v>32</v>
      </c>
      <c r="C30" s="78"/>
    </row>
    <row r="31" spans="2:14" ht="16" customHeight="1">
      <c r="B31" s="31" t="s">
        <v>16</v>
      </c>
      <c r="C31" s="35" t="b">
        <v>0</v>
      </c>
      <c r="G31" s="103" t="s">
        <v>61</v>
      </c>
      <c r="H31" s="103"/>
      <c r="I31" s="103"/>
      <c r="K31" s="101" t="s">
        <v>59</v>
      </c>
      <c r="L31" s="62" t="s">
        <v>63</v>
      </c>
      <c r="M31" s="62"/>
      <c r="N31" s="62"/>
    </row>
    <row r="32" spans="2:14">
      <c r="B32" s="31" t="s">
        <v>18</v>
      </c>
      <c r="C32" s="35" t="b">
        <v>0</v>
      </c>
      <c r="G32" s="104" t="s">
        <v>62</v>
      </c>
      <c r="H32" s="105"/>
      <c r="I32" s="106"/>
      <c r="K32" s="102"/>
      <c r="L32" s="62"/>
      <c r="M32" s="62"/>
      <c r="N32" s="62"/>
    </row>
    <row r="33" spans="2:18">
      <c r="B33" s="31" t="s">
        <v>17</v>
      </c>
      <c r="C33" s="35" t="b">
        <v>0</v>
      </c>
      <c r="G33" s="107"/>
      <c r="H33" s="108"/>
      <c r="I33" s="109"/>
      <c r="K33" s="101" t="s">
        <v>60</v>
      </c>
      <c r="L33" s="62" t="s">
        <v>64</v>
      </c>
      <c r="M33" s="62"/>
      <c r="N33" s="62"/>
    </row>
    <row r="34" spans="2:18">
      <c r="B34" s="31" t="s">
        <v>19</v>
      </c>
      <c r="C34" s="35" t="b">
        <v>0</v>
      </c>
      <c r="G34" s="100" t="s">
        <v>70</v>
      </c>
      <c r="H34" s="100"/>
      <c r="I34" s="100"/>
      <c r="K34" s="102"/>
      <c r="L34" s="62"/>
      <c r="M34" s="62"/>
      <c r="N34" s="62"/>
    </row>
    <row r="35" spans="2:18">
      <c r="B35" s="31" t="s">
        <v>20</v>
      </c>
      <c r="C35" s="35" t="b">
        <v>0</v>
      </c>
      <c r="G35" s="100"/>
      <c r="H35" s="100"/>
      <c r="I35" s="100"/>
      <c r="K35" s="101" t="s">
        <v>67</v>
      </c>
      <c r="L35" s="62" t="s">
        <v>65</v>
      </c>
      <c r="M35" s="62"/>
      <c r="N35" s="62"/>
    </row>
    <row r="36" spans="2:18">
      <c r="B36" s="31" t="s">
        <v>21</v>
      </c>
      <c r="C36" s="35" t="b">
        <v>0</v>
      </c>
      <c r="K36" s="102"/>
      <c r="L36" s="62"/>
      <c r="M36" s="62"/>
      <c r="N36" s="62"/>
    </row>
    <row r="37" spans="2:18">
      <c r="B37" s="32" t="s">
        <v>22</v>
      </c>
      <c r="C37" s="36" t="b">
        <v>0</v>
      </c>
      <c r="K37" s="101" t="s">
        <v>68</v>
      </c>
      <c r="L37" s="62" t="s">
        <v>66</v>
      </c>
      <c r="M37" s="62"/>
      <c r="N37" s="62"/>
    </row>
    <row r="38" spans="2:18">
      <c r="K38" s="102"/>
      <c r="L38" s="62"/>
      <c r="M38" s="62"/>
      <c r="N38" s="62"/>
    </row>
    <row r="43" spans="2:18">
      <c r="N43" s="79" t="s">
        <v>33</v>
      </c>
      <c r="O43" s="79"/>
      <c r="P43" s="79"/>
      <c r="Q43" s="79"/>
      <c r="R43" s="79"/>
    </row>
    <row r="44" spans="2:18">
      <c r="N44" s="110" t="s">
        <v>74</v>
      </c>
      <c r="O44" s="111"/>
      <c r="P44" s="111"/>
      <c r="Q44" s="111"/>
      <c r="R44" s="111"/>
    </row>
  </sheetData>
  <sheetProtection algorithmName="SHA-512" hashValue="gLgMs1snia47oAvVzJOIkhUd6rWHFlDxmH7HgXJqvYbZZRL2INpxgGvy+ZB5A1RWY46/tVPmc4kNr/AqqNDr2Q==" saltValue="IWxZSFhwMU+Ak000rkoOaw==" spinCount="100000" sheet="1" objects="1" scenarios="1"/>
  <mergeCells count="56">
    <mergeCell ref="N44:R44"/>
    <mergeCell ref="K35:K36"/>
    <mergeCell ref="L35:N36"/>
    <mergeCell ref="K37:K38"/>
    <mergeCell ref="L37:N38"/>
    <mergeCell ref="G34:I35"/>
    <mergeCell ref="K31:K32"/>
    <mergeCell ref="L31:N32"/>
    <mergeCell ref="K33:K34"/>
    <mergeCell ref="L33:N34"/>
    <mergeCell ref="G31:I31"/>
    <mergeCell ref="G32:I33"/>
    <mergeCell ref="D13:E13"/>
    <mergeCell ref="D16:E16"/>
    <mergeCell ref="D17:E17"/>
    <mergeCell ref="D18:E18"/>
    <mergeCell ref="H26:I27"/>
    <mergeCell ref="H25:I25"/>
    <mergeCell ref="B30:C30"/>
    <mergeCell ref="N43:R43"/>
    <mergeCell ref="L2:N2"/>
    <mergeCell ref="D3:E3"/>
    <mergeCell ref="H3:I3"/>
    <mergeCell ref="D11:E11"/>
    <mergeCell ref="D25:E25"/>
    <mergeCell ref="D5:E5"/>
    <mergeCell ref="H5:I5"/>
    <mergeCell ref="D21:E21"/>
    <mergeCell ref="D22:E22"/>
    <mergeCell ref="D19:E19"/>
    <mergeCell ref="D20:E20"/>
    <mergeCell ref="D12:E12"/>
    <mergeCell ref="K9:K10"/>
    <mergeCell ref="K11:K12"/>
    <mergeCell ref="K13:K14"/>
    <mergeCell ref="L13:N14"/>
    <mergeCell ref="L11:N12"/>
    <mergeCell ref="L9:N10"/>
    <mergeCell ref="K3:K4"/>
    <mergeCell ref="L3:N4"/>
    <mergeCell ref="K5:K6"/>
    <mergeCell ref="L5:N6"/>
    <mergeCell ref="K7:K8"/>
    <mergeCell ref="L7:N8"/>
    <mergeCell ref="K17:K18"/>
    <mergeCell ref="K19:K20"/>
    <mergeCell ref="L17:N18"/>
    <mergeCell ref="L19:N20"/>
    <mergeCell ref="K21:K22"/>
    <mergeCell ref="K23:K24"/>
    <mergeCell ref="K25:K26"/>
    <mergeCell ref="K27:K28"/>
    <mergeCell ref="L21:N22"/>
    <mergeCell ref="L23:N24"/>
    <mergeCell ref="L25:N26"/>
    <mergeCell ref="L27:N28"/>
  </mergeCells>
  <conditionalFormatting sqref="D27:E27">
    <cfRule type="expression" dxfId="9" priority="3">
      <formula>UPPER(D27)="AFF"</formula>
    </cfRule>
    <cfRule type="expression" dxfId="8" priority="4">
      <formula>UPPER(D27)="NEG"</formula>
    </cfRule>
  </conditionalFormatting>
  <conditionalFormatting sqref="F16:F22">
    <cfRule type="expression" dxfId="7" priority="9">
      <formula>UPPER(F16)="AFF"</formula>
    </cfRule>
    <cfRule type="expression" dxfId="6" priority="10">
      <formula>UPPER(F16)="NEG"</formula>
    </cfRule>
  </conditionalFormatting>
  <conditionalFormatting sqref="I15">
    <cfRule type="expression" dxfId="5" priority="7" stopIfTrue="1">
      <formula>COUNTIF($F$16:$F$22, "AFF") &gt; COUNTIF($F$16:$F$22, "NEG")</formula>
    </cfRule>
    <cfRule type="expression" dxfId="4" priority="8" stopIfTrue="1">
      <formula>COUNTIF($F$16:$F$22, "NEG") &gt; COUNTIF($F$16:$F$22, "AFF")</formula>
    </cfRule>
  </conditionalFormatting>
  <conditionalFormatting sqref="I20">
    <cfRule type="expression" dxfId="3" priority="1">
      <formula>UPPER(I20)="AFF"</formula>
    </cfRule>
    <cfRule type="expression" dxfId="2" priority="2">
      <formula>UPPER(I20)="NEG"</formula>
    </cfRule>
  </conditionalFormatting>
  <dataValidations disablePrompts="1" count="1">
    <dataValidation type="list" allowBlank="1" showInputMessage="1" showErrorMessage="1" sqref="C31:C37" xr:uid="{8A2C11D1-F84E-0B4B-9E82-C4A9D302656D}">
      <formula1>"TRUE,FALSE"</formula1>
    </dataValidation>
  </dataValidations>
  <hyperlinks>
    <hyperlink ref="N44" r:id="rId1" xr:uid="{8F206479-D3B1-B54C-B7AB-6FBA39622B96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3D784-1239-4348-97F2-82B8324D56F4}">
  <sheetPr codeName="Sheet2">
    <tabColor rgb="FF268BD2"/>
  </sheetPr>
  <dimension ref="A1:G23"/>
  <sheetViews>
    <sheetView showRowColHeaders="0" workbookViewId="0">
      <pane ySplit="2" topLeftCell="A3" activePane="bottomLeft" state="frozen"/>
      <selection pane="bottomLeft" sqref="A1:G1"/>
    </sheetView>
  </sheetViews>
  <sheetFormatPr baseColWidth="10" defaultColWidth="0" defaultRowHeight="16"/>
  <cols>
    <col min="1" max="1" width="21.42578125" style="41" customWidth="1"/>
    <col min="2" max="2" width="21.42578125" style="42" customWidth="1"/>
    <col min="3" max="3" width="21.42578125" style="41" customWidth="1"/>
    <col min="4" max="4" width="21.42578125" style="42" customWidth="1"/>
    <col min="5" max="5" width="21.42578125" style="41" customWidth="1"/>
    <col min="6" max="6" width="21.42578125" style="42" customWidth="1"/>
    <col min="7" max="7" width="21.42578125" style="41" customWidth="1"/>
    <col min="8" max="16384" width="10.7109375" style="38" hidden="1"/>
  </cols>
  <sheetData>
    <row r="1" spans="1:7" ht="18">
      <c r="A1" s="112"/>
      <c r="B1" s="112"/>
      <c r="C1" s="112"/>
      <c r="D1" s="112"/>
      <c r="E1" s="112"/>
      <c r="F1" s="112"/>
      <c r="G1" s="112"/>
    </row>
    <row r="2" spans="1:7" ht="17">
      <c r="A2" s="39" t="s">
        <v>16</v>
      </c>
      <c r="B2" s="40" t="s">
        <v>18</v>
      </c>
      <c r="C2" s="39" t="s">
        <v>17</v>
      </c>
      <c r="D2" s="40" t="s">
        <v>19</v>
      </c>
      <c r="E2" s="43" t="s">
        <v>20</v>
      </c>
      <c r="F2" s="40" t="s">
        <v>21</v>
      </c>
      <c r="G2" s="39" t="s">
        <v>22</v>
      </c>
    </row>
    <row r="17" spans="1:7">
      <c r="B17" s="45"/>
      <c r="C17" s="49"/>
      <c r="E17" s="29"/>
      <c r="G17" s="48"/>
    </row>
    <row r="18" spans="1:7">
      <c r="B18" s="45"/>
      <c r="C18" s="49"/>
      <c r="E18" s="29"/>
      <c r="G18" s="48"/>
    </row>
    <row r="19" spans="1:7">
      <c r="C19" s="48"/>
    </row>
    <row r="20" spans="1:7">
      <c r="A20" s="47"/>
      <c r="C20" s="48"/>
    </row>
    <row r="21" spans="1:7">
      <c r="D21" s="44"/>
      <c r="F21" s="45"/>
    </row>
    <row r="22" spans="1:7">
      <c r="D22" s="44"/>
      <c r="F22" s="45"/>
    </row>
    <row r="23" spans="1:7">
      <c r="D23" s="37"/>
    </row>
  </sheetData>
  <mergeCells count="1">
    <mergeCell ref="A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457D1-0215-6145-80C0-D0BB7C25F20F}">
  <sheetPr codeName="Sheet5">
    <tabColor rgb="FFDC322F"/>
  </sheetPr>
  <dimension ref="A1:G2"/>
  <sheetViews>
    <sheetView showRowColHeaders="0" workbookViewId="0">
      <pane ySplit="2" topLeftCell="A3" activePane="bottomLeft" state="frozen"/>
      <selection pane="bottomLeft" sqref="A1:F1"/>
    </sheetView>
  </sheetViews>
  <sheetFormatPr baseColWidth="10" defaultColWidth="0" defaultRowHeight="16"/>
  <cols>
    <col min="1" max="1" width="25" style="42" customWidth="1"/>
    <col min="2" max="2" width="25" style="41" customWidth="1"/>
    <col min="3" max="3" width="25" style="42" customWidth="1"/>
    <col min="4" max="4" width="25" style="41" customWidth="1"/>
    <col min="5" max="5" width="25" style="42" customWidth="1"/>
    <col min="6" max="6" width="25" style="41" customWidth="1"/>
    <col min="7" max="7" width="0" style="38" hidden="1" customWidth="1"/>
    <col min="8" max="16384" width="10.7109375" style="38" hidden="1"/>
  </cols>
  <sheetData>
    <row r="1" spans="1:6" ht="18">
      <c r="A1" s="113"/>
      <c r="B1" s="113"/>
      <c r="C1" s="113"/>
      <c r="D1" s="113"/>
      <c r="E1" s="113"/>
      <c r="F1" s="113"/>
    </row>
    <row r="2" spans="1:6" ht="17">
      <c r="A2" s="50" t="s">
        <v>18</v>
      </c>
      <c r="B2" s="46" t="s">
        <v>17</v>
      </c>
      <c r="C2" s="50" t="s">
        <v>19</v>
      </c>
      <c r="D2" s="46" t="s">
        <v>20</v>
      </c>
      <c r="E2" s="50" t="s">
        <v>21</v>
      </c>
      <c r="F2" s="46" t="s">
        <v>22</v>
      </c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7CB3B-8619-584B-B015-8BC816AA391E}">
  <sheetPr codeName="Sheet3">
    <tabColor rgb="FF6C71C4"/>
  </sheetPr>
  <dimension ref="A1:P3"/>
  <sheetViews>
    <sheetView showGridLines="0" showRowColHeaders="0" workbookViewId="0">
      <selection activeCell="B1" sqref="B1"/>
    </sheetView>
  </sheetViews>
  <sheetFormatPr baseColWidth="10" defaultColWidth="0" defaultRowHeight="16"/>
  <cols>
    <col min="1" max="1" width="11.85546875" style="59" bestFit="1" customWidth="1"/>
    <col min="2" max="16" width="25" style="58" customWidth="1"/>
    <col min="17" max="16384" width="10.7109375" style="59" hidden="1"/>
  </cols>
  <sheetData>
    <row r="1" spans="1:16" s="53" customFormat="1" ht="17">
      <c r="A1" s="51" t="s">
        <v>72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</row>
    <row r="2" spans="1:16" s="56" customFormat="1" ht="17">
      <c r="A2" s="54" t="s">
        <v>12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16" ht="17">
      <c r="A3" s="57" t="s">
        <v>73</v>
      </c>
    </row>
  </sheetData>
  <conditionalFormatting sqref="B2:P2">
    <cfRule type="expression" dxfId="1" priority="1">
      <formula>UPPER(B2)="AFF"</formula>
    </cfRule>
    <cfRule type="expression" dxfId="0" priority="2">
      <formula>UPPER(B2)="NEG"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70BE7-678B-8843-89A7-378DC3A87C50}">
  <sheetPr codeName="Sheet8">
    <tabColor rgb="FF859900"/>
  </sheetPr>
  <dimension ref="A1:H2"/>
  <sheetViews>
    <sheetView showRowColHeaders="0" workbookViewId="0">
      <selection activeCell="A3" sqref="A3"/>
    </sheetView>
  </sheetViews>
  <sheetFormatPr baseColWidth="10" defaultColWidth="0" defaultRowHeight="16"/>
  <cols>
    <col min="1" max="1" width="21.42578125" style="23" customWidth="1"/>
    <col min="2" max="2" width="21.42578125" style="27" customWidth="1"/>
    <col min="3" max="3" width="21.42578125" style="29" customWidth="1"/>
    <col min="4" max="4" width="21.42578125" style="25" customWidth="1"/>
    <col min="5" max="5" width="21.42578125" style="23" customWidth="1"/>
    <col min="6" max="6" width="21.42578125" style="27" customWidth="1"/>
    <col min="7" max="7" width="21.42578125" style="29" customWidth="1"/>
    <col min="8" max="8" width="21.42578125" style="23" customWidth="1"/>
    <col min="9" max="16384" width="10.7109375" style="21" hidden="1"/>
  </cols>
  <sheetData>
    <row r="1" spans="1:8" ht="32" customHeight="1">
      <c r="A1" s="114" t="s">
        <v>25</v>
      </c>
      <c r="B1" s="115"/>
      <c r="C1" s="116" t="s">
        <v>28</v>
      </c>
      <c r="D1" s="115"/>
      <c r="E1" s="116" t="s">
        <v>29</v>
      </c>
      <c r="F1" s="115"/>
      <c r="G1" s="114" t="s">
        <v>30</v>
      </c>
      <c r="H1" s="114"/>
    </row>
    <row r="2" spans="1:8" ht="17">
      <c r="A2" s="22" t="s">
        <v>26</v>
      </c>
      <c r="B2" s="26" t="s">
        <v>27</v>
      </c>
      <c r="C2" s="28" t="s">
        <v>26</v>
      </c>
      <c r="D2" s="24" t="s">
        <v>27</v>
      </c>
      <c r="E2" s="22" t="s">
        <v>26</v>
      </c>
      <c r="F2" s="26" t="s">
        <v>27</v>
      </c>
      <c r="G2" s="28" t="s">
        <v>26</v>
      </c>
      <c r="H2" s="22" t="s">
        <v>27</v>
      </c>
    </row>
  </sheetData>
  <mergeCells count="4">
    <mergeCell ref="A1:B1"/>
    <mergeCell ref="C1:D1"/>
    <mergeCell ref="E1:F1"/>
    <mergeCell ref="G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AFF</vt:lpstr>
      <vt:lpstr>NEG</vt:lpstr>
      <vt:lpstr>Decisions</vt:lpstr>
      <vt:lpstr>CX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Shreeram Modi</dc:creator>
  <cp:lastModifiedBy>Shreeram Modi</cp:lastModifiedBy>
  <dcterms:created xsi:type="dcterms:W3CDTF">2025-11-22T21:45:01Z</dcterms:created>
  <dcterms:modified xsi:type="dcterms:W3CDTF">2025-12-24T04:30:13Z</dcterms:modified>
</cp:coreProperties>
</file>