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hreeram/Downloads/"/>
    </mc:Choice>
  </mc:AlternateContent>
  <xr:revisionPtr revIDLastSave="0" documentId="13_ncr:11_{8FCF0D76-1932-114D-A62E-76DEA8A33CA4}" xr6:coauthVersionLast="47" xr6:coauthVersionMax="47" xr10:uidLastSave="{00000000-0000-0000-0000-000000000000}"/>
  <bookViews>
    <workbookView xWindow="100" yWindow="700" windowWidth="51000" windowHeight="28000" xr2:uid="{A32910FC-8370-914D-90BB-51F7066C4B9E}"/>
  </bookViews>
  <sheets>
    <sheet name="Info" sheetId="1" r:id="rId1"/>
    <sheet name="AFF" sheetId="3" state="hidden" r:id="rId2"/>
    <sheet name="NEG" sheetId="21" state="hidden" r:id="rId3"/>
    <sheet name="Decisions" sheetId="48" r:id="rId4"/>
    <sheet name="CX" sheetId="3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H3" i="1"/>
  <c r="D3" i="1"/>
</calcChain>
</file>

<file path=xl/sharedStrings.xml><?xml version="1.0" encoding="utf-8"?>
<sst xmlns="http://schemas.openxmlformats.org/spreadsheetml/2006/main" count="51" uniqueCount="36">
  <si>
    <t>First Name</t>
  </si>
  <si>
    <t>Last Name</t>
  </si>
  <si>
    <t>NEG School:</t>
  </si>
  <si>
    <t>AFF School:</t>
  </si>
  <si>
    <t>1A:</t>
  </si>
  <si>
    <t>2A:</t>
  </si>
  <si>
    <t>2N:</t>
  </si>
  <si>
    <t>1N:</t>
  </si>
  <si>
    <t>Tournament:</t>
  </si>
  <si>
    <t>Date:</t>
  </si>
  <si>
    <t>Judges:</t>
  </si>
  <si>
    <t>Vote:</t>
  </si>
  <si>
    <t>Decision:</t>
  </si>
  <si>
    <t>NEG</t>
  </si>
  <si>
    <t>AFF</t>
  </si>
  <si>
    <t>Prep Time</t>
  </si>
  <si>
    <t>1AC</t>
  </si>
  <si>
    <t>2AC</t>
  </si>
  <si>
    <t>1NC</t>
  </si>
  <si>
    <t>Block</t>
  </si>
  <si>
    <t>1AR</t>
  </si>
  <si>
    <t>2NR</t>
  </si>
  <si>
    <t>2AR</t>
  </si>
  <si>
    <t>Note</t>
  </si>
  <si>
    <t>1AC CX</t>
  </si>
  <si>
    <t>Question</t>
  </si>
  <si>
    <t>Response</t>
  </si>
  <si>
    <t>1NC CX</t>
  </si>
  <si>
    <t>2AC CX</t>
  </si>
  <si>
    <t>2NC CX</t>
  </si>
  <si>
    <t>Do not move the "Info" or "CX" sheets!</t>
  </si>
  <si>
    <r>
      <t xml:space="preserve">Flow template made by </t>
    </r>
    <r>
      <rPr>
        <b/>
        <sz val="12"/>
        <color theme="1"/>
        <rFont val="Arial"/>
        <family val="2"/>
      </rPr>
      <t>Shreeram Modi</t>
    </r>
    <r>
      <rPr>
        <sz val="12"/>
        <color theme="1"/>
        <rFont val="Arial"/>
        <family val="2"/>
      </rPr>
      <t xml:space="preserve">; </t>
    </r>
    <r>
      <rPr>
        <sz val="12"/>
        <color rgb="FF268BD2"/>
        <rFont val="Arial"/>
        <family val="2"/>
      </rPr>
      <t>debate@smodi.net</t>
    </r>
  </si>
  <si>
    <t>Round:</t>
  </si>
  <si>
    <t>Judge Name:</t>
  </si>
  <si>
    <t>RFD:</t>
  </si>
  <si>
    <t>https://github.com/shreerammodi/debate-flow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</si>
</sst>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>
    <font>
      <sz val="12"/>
      <color theme="1"/>
      <name val="ArialMT"/>
      <family val="2"/>
    </font>
    <font>
      <sz val="12"/>
      <color rgb="FF268BD2"/>
      <name val="Arial"/>
      <family val="2"/>
    </font>
    <font>
      <sz val="12"/>
      <color rgb="FFDC322F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rgb="FF268BD2"/>
      <name val="Arial"/>
      <family val="2"/>
    </font>
    <font>
      <b/>
      <sz val="12"/>
      <color rgb="FFDC322F"/>
      <name val="Arial"/>
      <family val="2"/>
    </font>
    <font>
      <b/>
      <sz val="14"/>
      <color rgb="FF268BD2"/>
      <name val="Arial"/>
      <family val="2"/>
    </font>
    <font>
      <b/>
      <sz val="14"/>
      <color rgb="FFDC322F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M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1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1"/>
      </bottom>
      <diagonal/>
    </border>
    <border>
      <left style="thin">
        <color theme="2" tint="-9.9978637043366805E-2"/>
      </left>
      <right style="thin">
        <color theme="1"/>
      </right>
      <top style="thin">
        <color theme="2" tint="-9.9978637043366805E-2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2" tint="-9.9978637043366805E-2"/>
      </right>
      <top style="thin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1"/>
      </right>
      <top style="thin">
        <color theme="1"/>
      </top>
      <bottom style="thin">
        <color theme="2" tint="-9.9978637043366805E-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/>
      <bottom style="thin">
        <color theme="2" tint="-9.9978637043366805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17600024414813E-2"/>
      </left>
      <right/>
      <top/>
      <bottom/>
      <diagonal/>
    </border>
    <border>
      <left/>
      <right style="thin">
        <color theme="2" tint="-9.9917600024414813E-2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78637043366805E-2"/>
      </top>
      <bottom/>
      <diagonal/>
    </border>
    <border>
      <left style="thin">
        <color theme="2" tint="-9.9917600024414813E-2"/>
      </left>
      <right/>
      <top/>
      <bottom style="thin">
        <color indexed="9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3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4" xfId="0" applyFont="1" applyFill="1" applyBorder="1" applyAlignment="1" applyProtection="1">
      <alignment horizontal="left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20" fontId="2" fillId="2" borderId="0" xfId="0" applyNumberFormat="1" applyFont="1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4" fillId="3" borderId="0" xfId="0" applyFont="1" applyFill="1"/>
    <xf numFmtId="0" fontId="9" fillId="3" borderId="0" xfId="0" applyFont="1" applyFill="1" applyAlignment="1">
      <alignment horizontal="right"/>
    </xf>
    <xf numFmtId="0" fontId="9" fillId="3" borderId="0" xfId="0" applyFont="1" applyFill="1"/>
    <xf numFmtId="0" fontId="4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6" fillId="2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wrapText="1"/>
    </xf>
    <xf numFmtId="0" fontId="4" fillId="3" borderId="8" xfId="0" applyFont="1" applyFill="1" applyBorder="1"/>
    <xf numFmtId="0" fontId="2" fillId="0" borderId="16" xfId="0" applyFont="1" applyBorder="1" applyAlignment="1">
      <alignment wrapText="1"/>
    </xf>
    <xf numFmtId="0" fontId="4" fillId="2" borderId="17" xfId="0" applyFont="1" applyFill="1" applyBorder="1"/>
    <xf numFmtId="0" fontId="5" fillId="2" borderId="17" xfId="0" applyFont="1" applyFill="1" applyBorder="1" applyAlignment="1">
      <alignment horizontal="center" wrapText="1"/>
    </xf>
    <xf numFmtId="0" fontId="6" fillId="2" borderId="17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wrapText="1"/>
    </xf>
    <xf numFmtId="0" fontId="2" fillId="2" borderId="17" xfId="0" applyFont="1" applyFill="1" applyBorder="1" applyAlignment="1">
      <alignment wrapText="1"/>
    </xf>
    <xf numFmtId="0" fontId="5" fillId="2" borderId="1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wrapText="1"/>
    </xf>
    <xf numFmtId="0" fontId="2" fillId="2" borderId="21" xfId="0" applyFont="1" applyFill="1" applyBorder="1" applyAlignment="1">
      <alignment wrapText="1"/>
    </xf>
    <xf numFmtId="0" fontId="5" fillId="2" borderId="22" xfId="0" applyFont="1" applyFill="1" applyBorder="1" applyAlignment="1">
      <alignment horizontal="center" wrapText="1"/>
    </xf>
    <xf numFmtId="0" fontId="1" fillId="4" borderId="23" xfId="0" applyFont="1" applyFill="1" applyBorder="1" applyAlignment="1">
      <alignment wrapText="1"/>
    </xf>
    <xf numFmtId="0" fontId="1" fillId="2" borderId="21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6" fillId="2" borderId="22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right" wrapText="1"/>
    </xf>
    <xf numFmtId="0" fontId="4" fillId="0" borderId="25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9" fillId="0" borderId="7" xfId="0" applyFont="1" applyBorder="1" applyAlignment="1">
      <alignment horizontal="right" wrapText="1"/>
    </xf>
    <xf numFmtId="0" fontId="3" fillId="2" borderId="4" xfId="0" applyFont="1" applyFill="1" applyBorder="1" applyAlignment="1" applyProtection="1">
      <alignment horizontal="left" wrapText="1"/>
      <protection locked="0"/>
    </xf>
    <xf numFmtId="0" fontId="4" fillId="0" borderId="7" xfId="0" applyFont="1" applyBorder="1" applyAlignment="1">
      <alignment wrapText="1"/>
    </xf>
    <xf numFmtId="0" fontId="9" fillId="0" borderId="0" xfId="0" applyFont="1" applyAlignment="1">
      <alignment horizontal="right" wrapText="1"/>
    </xf>
    <xf numFmtId="0" fontId="4" fillId="0" borderId="24" xfId="0" applyFont="1" applyBorder="1" applyAlignment="1">
      <alignment wrapText="1"/>
    </xf>
    <xf numFmtId="0" fontId="4" fillId="0" borderId="0" xfId="0" applyFont="1" applyAlignment="1">
      <alignment wrapText="1"/>
    </xf>
    <xf numFmtId="0" fontId="10" fillId="3" borderId="0" xfId="1" applyFill="1"/>
    <xf numFmtId="0" fontId="0" fillId="3" borderId="0" xfId="0" applyFill="1"/>
    <xf numFmtId="164" fontId="4" fillId="2" borderId="4" xfId="0" applyNumberFormat="1" applyFont="1" applyFill="1" applyBorder="1" applyProtection="1">
      <protection locked="0"/>
    </xf>
    <xf numFmtId="0" fontId="4" fillId="2" borderId="2" xfId="0" applyFont="1" applyFill="1" applyBorder="1" applyProtection="1">
      <protection locked="0"/>
    </xf>
    <xf numFmtId="0" fontId="4" fillId="2" borderId="3" xfId="0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4" fillId="2" borderId="6" xfId="0" applyFont="1" applyFill="1" applyBorder="1" applyProtection="1">
      <protection locked="0"/>
    </xf>
    <xf numFmtId="0" fontId="4" fillId="3" borderId="14" xfId="0" applyFont="1" applyFill="1" applyBorder="1" applyAlignment="1">
      <alignment wrapText="1"/>
    </xf>
    <xf numFmtId="0" fontId="4" fillId="3" borderId="15" xfId="0" applyFont="1" applyFill="1" applyBorder="1" applyAlignment="1">
      <alignment wrapText="1"/>
    </xf>
    <xf numFmtId="0" fontId="4" fillId="3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4" fillId="2" borderId="4" xfId="0" applyFont="1" applyFill="1" applyBorder="1" applyProtection="1">
      <protection locked="0"/>
    </xf>
    <xf numFmtId="0" fontId="9" fillId="3" borderId="8" xfId="0" applyFont="1" applyFill="1" applyBorder="1" applyAlignment="1">
      <alignment horizontal="center"/>
    </xf>
    <xf numFmtId="0" fontId="1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4" fillId="2" borderId="0" xfId="0" applyFont="1" applyFill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8" xfId="0" applyFont="1" applyFill="1" applyBorder="1" applyAlignment="1">
      <alignment horizontal="center" wrapText="1"/>
    </xf>
    <xf numFmtId="0" fontId="8" fillId="2" borderId="17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10">
    <dxf>
      <font>
        <color rgb="FFDC322F"/>
      </font>
    </dxf>
    <dxf>
      <font>
        <color rgb="FF268BD2"/>
      </font>
    </dxf>
    <dxf>
      <font>
        <color rgb="FFDC322F"/>
      </font>
    </dxf>
    <dxf>
      <font>
        <color rgb="FF268BD2"/>
      </font>
    </dxf>
    <dxf>
      <font>
        <color rgb="FFDC322F"/>
      </font>
    </dxf>
    <dxf>
      <font>
        <color rgb="FF268BD2"/>
      </font>
    </dxf>
    <dxf>
      <font>
        <color rgb="FFDC322F"/>
      </font>
    </dxf>
    <dxf>
      <font>
        <color rgb="FF268BD2"/>
      </font>
    </dxf>
    <dxf>
      <font>
        <color rgb="FFDC322F"/>
      </font>
    </dxf>
    <dxf>
      <font>
        <color rgb="FF268BD2"/>
      </font>
    </dxf>
  </dxfs>
  <tableStyles count="0" defaultTableStyle="TableStyleMedium2" defaultPivotStyle="PivotStyleLight16"/>
  <colors>
    <mruColors>
      <color rgb="FF268BD2"/>
      <color rgb="FF6C71C4"/>
      <color rgb="FFD33682"/>
      <color rgb="FFEEE8D5"/>
      <color rgb="FF859900"/>
      <color rgb="FFDC322F"/>
      <color rgb="FF657B83"/>
      <color rgb="FF586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hreerammodi/debate-f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7A03-9DDE-5944-9D6D-E2FCA16B87D3}">
  <sheetPr codeName="Sheet1">
    <tabColor rgb="FF657B83"/>
  </sheetPr>
  <dimension ref="C2:I32"/>
  <sheetViews>
    <sheetView showRowColHeaders="0" tabSelected="1" zoomScaleNormal="100" workbookViewId="0">
      <selection activeCell="D31" sqref="D31:H31"/>
    </sheetView>
  </sheetViews>
  <sheetFormatPr baseColWidth="10" defaultRowHeight="16"/>
  <cols>
    <col min="1" max="2" width="10.7109375" style="16" customWidth="1"/>
    <col min="3" max="3" width="11.42578125" style="16" bestFit="1" customWidth="1"/>
    <col min="4" max="5" width="14.28515625" style="16" customWidth="1"/>
    <col min="6" max="6" width="10.7109375" style="16" customWidth="1"/>
    <col min="7" max="7" width="11.42578125" style="16" customWidth="1"/>
    <col min="8" max="9" width="14.28515625" style="16" customWidth="1"/>
    <col min="10" max="10" width="10.7109375" style="16" customWidth="1"/>
    <col min="11" max="11" width="12.140625" style="16" customWidth="1"/>
    <col min="12" max="12" width="10.7109375" style="16" customWidth="1"/>
    <col min="13" max="16384" width="10.7109375" style="16"/>
  </cols>
  <sheetData>
    <row r="2" spans="3:9" ht="20" customHeight="1"/>
    <row r="3" spans="3:9">
      <c r="D3" s="68" t="str">
        <f>IF(
AND(E8&lt;&gt;"", E9&lt;&gt;""),
IF(E8&lt;E9,
D5&amp;" "&amp;LEFT(E8, 1)&amp;LEFT(E9, 1),
D5&amp;" "&amp;LEFT(E9, 1)&amp;LEFT(E8, 1)),
D5&amp;" "&amp;LEFT(D8, 1)&amp;LEFT(E8, 1))</f>
        <v xml:space="preserve"> </v>
      </c>
      <c r="E3" s="68"/>
      <c r="H3" s="69" t="str">
        <f>IF(
AND(I8&lt;&gt;"", I9&lt;&gt;""),
IF(I8&lt;I9,
H5&amp;" "&amp;LEFT(I8, 1)&amp;LEFT(I9, 1),
H5&amp;" "&amp;LEFT(I9, 1)&amp;LEFT(I8, 1)),
H5&amp;" "&amp;LEFT(H8, 1)&amp;LEFT(I8, 1))</f>
        <v xml:space="preserve"> </v>
      </c>
      <c r="I3" s="69"/>
    </row>
    <row r="5" spans="3:9">
      <c r="C5" s="17" t="s">
        <v>3</v>
      </c>
      <c r="D5" s="72"/>
      <c r="E5" s="72"/>
      <c r="G5" s="17" t="s">
        <v>2</v>
      </c>
      <c r="H5" s="73"/>
      <c r="I5" s="73"/>
    </row>
    <row r="7" spans="3:9">
      <c r="D7" s="18" t="s">
        <v>0</v>
      </c>
      <c r="E7" s="18" t="s">
        <v>1</v>
      </c>
      <c r="H7" s="18" t="s">
        <v>0</v>
      </c>
      <c r="I7" s="18" t="s">
        <v>1</v>
      </c>
    </row>
    <row r="8" spans="3:9">
      <c r="C8" s="17" t="s">
        <v>4</v>
      </c>
      <c r="D8" s="1"/>
      <c r="E8" s="2"/>
      <c r="G8" s="17" t="s">
        <v>7</v>
      </c>
      <c r="H8" s="5"/>
      <c r="I8" s="6"/>
    </row>
    <row r="9" spans="3:9">
      <c r="C9" s="17" t="s">
        <v>5</v>
      </c>
      <c r="D9" s="3"/>
      <c r="E9" s="4"/>
      <c r="G9" s="17" t="s">
        <v>6</v>
      </c>
      <c r="H9" s="7"/>
      <c r="I9" s="8"/>
    </row>
    <row r="11" spans="3:9">
      <c r="C11" s="17" t="s">
        <v>8</v>
      </c>
      <c r="D11" s="70"/>
      <c r="E11" s="70"/>
    </row>
    <row r="12" spans="3:9">
      <c r="C12" s="17" t="s">
        <v>32</v>
      </c>
      <c r="D12" s="70"/>
      <c r="E12" s="70"/>
    </row>
    <row r="13" spans="3:9">
      <c r="C13" s="17" t="s">
        <v>9</v>
      </c>
      <c r="D13" s="56"/>
      <c r="E13" s="56"/>
    </row>
    <row r="15" spans="3:9">
      <c r="D15" s="18" t="s">
        <v>10</v>
      </c>
      <c r="F15" s="18" t="s">
        <v>11</v>
      </c>
      <c r="H15" s="17" t="s">
        <v>12</v>
      </c>
      <c r="I15" s="19" t="str">
        <f xml:space="preserve">
IF(
    AND(COUNTIF(F16:F22,"AFF")=0, COUNTIF(F16:F22,"NEG")=0),"",
IF(
    AND(COUNTIF(F16:F22,"AFF")=COUNTIF(F16:F22,"NEG")),
    COUNTIF(F16:F22,"AFF")&amp;"-"&amp;COUNTIF(F16:F22,"NEG"),
IF(
    AND(COUNTIF(F16:F22,"AFF")=1,COUNTIF(F16:F22,"NEG")=0),"AFF",
IF(
    AND(COUNTIF(F16:F22,"NEG")=1,COUNTIF(F16:F22,"AFF")=0),"NEG",
MAX(COUNTIF(F16:F22,"AFF"),COUNTIF(F16:F22,"NEG"))
&amp;"-"&amp;
MIN(COUNTIF(F16:F22,"AFF"),COUNTIF(F16:F22,"NEG"))
&amp;" "&amp;
IF(
    COUNTIF(F16:F22,"AFF")&gt;COUNTIF(F16:F22,"NEG"),"AFF","NEG")
))))</f>
        <v/>
      </c>
    </row>
    <row r="16" spans="3:9">
      <c r="D16" s="57"/>
      <c r="E16" s="58"/>
      <c r="F16" s="9"/>
    </row>
    <row r="17" spans="4:9">
      <c r="D17" s="59"/>
      <c r="E17" s="60"/>
      <c r="F17" s="13"/>
    </row>
    <row r="18" spans="4:9">
      <c r="D18" s="59"/>
      <c r="E18" s="60"/>
      <c r="F18" s="10"/>
    </row>
    <row r="19" spans="4:9">
      <c r="D19" s="59"/>
      <c r="E19" s="60"/>
      <c r="F19" s="11"/>
    </row>
    <row r="20" spans="4:9">
      <c r="D20" s="59"/>
      <c r="E20" s="60"/>
      <c r="F20" s="12"/>
      <c r="H20" s="17"/>
    </row>
    <row r="21" spans="4:9">
      <c r="D21" s="57"/>
      <c r="E21" s="58"/>
      <c r="F21" s="9"/>
    </row>
    <row r="22" spans="4:9">
      <c r="D22" s="74"/>
      <c r="E22" s="75"/>
      <c r="F22" s="10"/>
    </row>
    <row r="24" spans="4:9">
      <c r="H24" s="30"/>
      <c r="I24" s="30"/>
    </row>
    <row r="25" spans="4:9">
      <c r="D25" s="71" t="s">
        <v>15</v>
      </c>
      <c r="E25" s="71"/>
      <c r="H25" s="65" t="s">
        <v>23</v>
      </c>
      <c r="I25" s="66"/>
    </row>
    <row r="26" spans="4:9">
      <c r="D26" s="20" t="s">
        <v>14</v>
      </c>
      <c r="E26" s="20" t="s">
        <v>13</v>
      </c>
      <c r="H26" s="61" t="s">
        <v>30</v>
      </c>
      <c r="I26" s="62"/>
    </row>
    <row r="27" spans="4:9">
      <c r="D27" s="15"/>
      <c r="E27" s="14"/>
      <c r="H27" s="63"/>
      <c r="I27" s="64"/>
    </row>
    <row r="31" spans="4:9" ht="16" customHeight="1">
      <c r="D31" s="67" t="s">
        <v>31</v>
      </c>
      <c r="E31" s="67"/>
      <c r="F31" s="67"/>
      <c r="G31" s="67"/>
      <c r="H31" s="67"/>
    </row>
    <row r="32" spans="4:9">
      <c r="D32" s="54" t="s">
        <v>35</v>
      </c>
      <c r="E32" s="55"/>
      <c r="F32" s="55"/>
      <c r="G32" s="55"/>
      <c r="H32" s="55"/>
    </row>
  </sheetData>
  <sheetProtection algorithmName="SHA-512" hashValue="iX8P1mP7DHCr7dKVvG5vBTNmIZo1fZ1CCJZXEgldPMromshTLV4Z+oJ0L4Yds2jSA9uphS2wjPq/Kz+prArb0g==" saltValue="/X5wZ1jwbxpAlPZiqDg3KA==" spinCount="100000" sheet="1" objects="1" scenarios="1"/>
  <mergeCells count="19">
    <mergeCell ref="D31:H31"/>
    <mergeCell ref="D3:E3"/>
    <mergeCell ref="H3:I3"/>
    <mergeCell ref="D11:E11"/>
    <mergeCell ref="D25:E25"/>
    <mergeCell ref="D5:E5"/>
    <mergeCell ref="H5:I5"/>
    <mergeCell ref="D21:E21"/>
    <mergeCell ref="D22:E22"/>
    <mergeCell ref="D19:E19"/>
    <mergeCell ref="D20:E20"/>
    <mergeCell ref="D12:E12"/>
    <mergeCell ref="D13:E13"/>
    <mergeCell ref="D16:E16"/>
    <mergeCell ref="D17:E17"/>
    <mergeCell ref="D18:E18"/>
    <mergeCell ref="H26:I27"/>
    <mergeCell ref="H25:I25"/>
    <mergeCell ref="D32:H32"/>
  </mergeCells>
  <conditionalFormatting sqref="D27:E27">
    <cfRule type="expression" dxfId="9" priority="3">
      <formula>UPPER(D27)="AFF"</formula>
    </cfRule>
    <cfRule type="expression" dxfId="8" priority="4">
      <formula>UPPER(D27)="NEG"</formula>
    </cfRule>
  </conditionalFormatting>
  <conditionalFormatting sqref="F16:F22">
    <cfRule type="expression" dxfId="7" priority="9">
      <formula>UPPER(F16)="AFF"</formula>
    </cfRule>
    <cfRule type="expression" dxfId="6" priority="10">
      <formula>UPPER(F16)="NEG"</formula>
    </cfRule>
  </conditionalFormatting>
  <conditionalFormatting sqref="I15">
    <cfRule type="expression" dxfId="5" priority="7" stopIfTrue="1">
      <formula>COUNTIF($F$16:$F$22, "AFF") &gt; COUNTIF($F$16:$F$22, "NEG")</formula>
    </cfRule>
    <cfRule type="expression" dxfId="4" priority="8" stopIfTrue="1">
      <formula>COUNTIF($F$16:$F$22, "NEG") &gt; COUNTIF($F$16:$F$22, "AFF")</formula>
    </cfRule>
  </conditionalFormatting>
  <hyperlinks>
    <hyperlink ref="D32" r:id="rId1" xr:uid="{8F206479-D3B1-B54C-B7AB-6FBA39622B96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D784-1239-4348-97F2-82B8324D56F4}">
  <sheetPr codeName="Sheet2">
    <tabColor rgb="FF268BD2"/>
  </sheetPr>
  <dimension ref="A1:G23"/>
  <sheetViews>
    <sheetView showRowColHeaders="0" workbookViewId="0">
      <pane ySplit="2" topLeftCell="A3" activePane="bottomLeft" state="frozen"/>
      <selection pane="bottomLeft" sqref="A1:G1"/>
    </sheetView>
  </sheetViews>
  <sheetFormatPr baseColWidth="10" defaultColWidth="0" defaultRowHeight="16"/>
  <cols>
    <col min="1" max="1" width="21.42578125" style="35" customWidth="1"/>
    <col min="2" max="2" width="21.42578125" style="36" customWidth="1"/>
    <col min="3" max="3" width="21.42578125" style="35" customWidth="1"/>
    <col min="4" max="4" width="21.42578125" style="36" customWidth="1"/>
    <col min="5" max="5" width="21.42578125" style="35" customWidth="1"/>
    <col min="6" max="6" width="21.42578125" style="36" customWidth="1"/>
    <col min="7" max="7" width="21.42578125" style="35" customWidth="1"/>
    <col min="8" max="16384" width="10.7109375" style="32" hidden="1"/>
  </cols>
  <sheetData>
    <row r="1" spans="1:7" ht="18">
      <c r="A1" s="76"/>
      <c r="B1" s="76"/>
      <c r="C1" s="76"/>
      <c r="D1" s="76"/>
      <c r="E1" s="76"/>
      <c r="F1" s="76"/>
      <c r="G1" s="76"/>
    </row>
    <row r="2" spans="1:7" ht="17">
      <c r="A2" s="33" t="s">
        <v>16</v>
      </c>
      <c r="B2" s="34" t="s">
        <v>18</v>
      </c>
      <c r="C2" s="33" t="s">
        <v>17</v>
      </c>
      <c r="D2" s="34" t="s">
        <v>19</v>
      </c>
      <c r="E2" s="37" t="s">
        <v>20</v>
      </c>
      <c r="F2" s="34" t="s">
        <v>21</v>
      </c>
      <c r="G2" s="33" t="s">
        <v>22</v>
      </c>
    </row>
    <row r="17" spans="1:7">
      <c r="B17" s="39"/>
      <c r="C17" s="43"/>
      <c r="E17" s="29"/>
      <c r="G17" s="42"/>
    </row>
    <row r="18" spans="1:7">
      <c r="B18" s="39"/>
      <c r="C18" s="43"/>
      <c r="E18" s="29"/>
      <c r="G18" s="42"/>
    </row>
    <row r="19" spans="1:7">
      <c r="C19" s="42"/>
    </row>
    <row r="20" spans="1:7">
      <c r="A20" s="41"/>
      <c r="C20" s="42"/>
    </row>
    <row r="21" spans="1:7">
      <c r="D21" s="38"/>
      <c r="F21" s="39"/>
    </row>
    <row r="22" spans="1:7">
      <c r="D22" s="38"/>
      <c r="F22" s="39"/>
    </row>
    <row r="23" spans="1:7">
      <c r="D23" s="31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57D1-0215-6145-80C0-D0BB7C25F20F}">
  <sheetPr codeName="Sheet5">
    <tabColor rgb="FFDC322F"/>
  </sheetPr>
  <dimension ref="A1:G2"/>
  <sheetViews>
    <sheetView showRowColHeaders="0" workbookViewId="0">
      <pane ySplit="2" topLeftCell="A3" activePane="bottomLeft" state="frozen"/>
      <selection pane="bottomLeft" sqref="A1:F1"/>
    </sheetView>
  </sheetViews>
  <sheetFormatPr baseColWidth="10" defaultColWidth="0" defaultRowHeight="16"/>
  <cols>
    <col min="1" max="1" width="25" style="36" customWidth="1"/>
    <col min="2" max="2" width="25" style="35" customWidth="1"/>
    <col min="3" max="3" width="25" style="36" customWidth="1"/>
    <col min="4" max="4" width="25" style="35" customWidth="1"/>
    <col min="5" max="5" width="25" style="36" customWidth="1"/>
    <col min="6" max="6" width="25" style="35" customWidth="1"/>
    <col min="7" max="7" width="0" style="32" hidden="1" customWidth="1"/>
    <col min="8" max="16384" width="10.7109375" style="32" hidden="1"/>
  </cols>
  <sheetData>
    <row r="1" spans="1:6" ht="18">
      <c r="A1" s="77"/>
      <c r="B1" s="77"/>
      <c r="C1" s="77"/>
      <c r="D1" s="77"/>
      <c r="E1" s="77"/>
      <c r="F1" s="77"/>
    </row>
    <row r="2" spans="1:6" ht="17">
      <c r="A2" s="44" t="s">
        <v>18</v>
      </c>
      <c r="B2" s="40" t="s">
        <v>17</v>
      </c>
      <c r="C2" s="44" t="s">
        <v>19</v>
      </c>
      <c r="D2" s="40" t="s">
        <v>20</v>
      </c>
      <c r="E2" s="44" t="s">
        <v>21</v>
      </c>
      <c r="F2" s="40" t="s">
        <v>22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CB3B-8619-584B-B015-8BC816AA391E}">
  <sheetPr codeName="Sheet3">
    <tabColor rgb="FF6C71C4"/>
  </sheetPr>
  <dimension ref="A1:P3"/>
  <sheetViews>
    <sheetView showGridLines="0" showRowColHeaders="0" workbookViewId="0">
      <selection activeCell="B1" sqref="B1"/>
    </sheetView>
  </sheetViews>
  <sheetFormatPr baseColWidth="10" defaultColWidth="0" defaultRowHeight="16"/>
  <cols>
    <col min="1" max="1" width="11.85546875" style="53" bestFit="1" customWidth="1"/>
    <col min="2" max="16" width="25" style="52" customWidth="1"/>
    <col min="17" max="16384" width="10.7109375" style="53" hidden="1"/>
  </cols>
  <sheetData>
    <row r="1" spans="1:16" s="47" customFormat="1" ht="17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s="50" customFormat="1" ht="17">
      <c r="A2" s="48" t="s">
        <v>12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7">
      <c r="A3" s="51" t="s">
        <v>34</v>
      </c>
    </row>
  </sheetData>
  <conditionalFormatting sqref="B2:P2">
    <cfRule type="expression" dxfId="1" priority="1">
      <formula>UPPER(B2)="AFF"</formula>
    </cfRule>
    <cfRule type="expression" dxfId="0" priority="2">
      <formula>UPPER(B2)="NEG"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0BE7-678B-8843-89A7-378DC3A87C50}">
  <sheetPr codeName="Sheet8">
    <tabColor rgb="FF859900"/>
  </sheetPr>
  <dimension ref="A1:H2"/>
  <sheetViews>
    <sheetView showRowColHeaders="0" workbookViewId="0">
      <selection activeCell="A3" sqref="A3"/>
    </sheetView>
  </sheetViews>
  <sheetFormatPr baseColWidth="10" defaultColWidth="0" defaultRowHeight="16"/>
  <cols>
    <col min="1" max="1" width="21.42578125" style="23" customWidth="1"/>
    <col min="2" max="2" width="21.42578125" style="27" customWidth="1"/>
    <col min="3" max="3" width="21.42578125" style="29" customWidth="1"/>
    <col min="4" max="4" width="21.42578125" style="25" customWidth="1"/>
    <col min="5" max="5" width="21.42578125" style="23" customWidth="1"/>
    <col min="6" max="6" width="21.42578125" style="27" customWidth="1"/>
    <col min="7" max="7" width="21.42578125" style="29" customWidth="1"/>
    <col min="8" max="8" width="21.42578125" style="23" customWidth="1"/>
    <col min="9" max="16384" width="10.7109375" style="21" hidden="1"/>
  </cols>
  <sheetData>
    <row r="1" spans="1:8" ht="32" customHeight="1">
      <c r="A1" s="78" t="s">
        <v>24</v>
      </c>
      <c r="B1" s="79"/>
      <c r="C1" s="80" t="s">
        <v>27</v>
      </c>
      <c r="D1" s="79"/>
      <c r="E1" s="80" t="s">
        <v>28</v>
      </c>
      <c r="F1" s="79"/>
      <c r="G1" s="78" t="s">
        <v>29</v>
      </c>
      <c r="H1" s="78"/>
    </row>
    <row r="2" spans="1:8" ht="17">
      <c r="A2" s="22" t="s">
        <v>25</v>
      </c>
      <c r="B2" s="26" t="s">
        <v>26</v>
      </c>
      <c r="C2" s="28" t="s">
        <v>25</v>
      </c>
      <c r="D2" s="24" t="s">
        <v>26</v>
      </c>
      <c r="E2" s="22" t="s">
        <v>25</v>
      </c>
      <c r="F2" s="26" t="s">
        <v>26</v>
      </c>
      <c r="G2" s="28" t="s">
        <v>25</v>
      </c>
      <c r="H2" s="22" t="s">
        <v>26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AFF</vt:lpstr>
      <vt:lpstr>NEG</vt:lpstr>
      <vt:lpstr>Decisions</vt:lpstr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Shreeram Modi</dc:creator>
  <cp:lastModifiedBy>Shreeram Modi</cp:lastModifiedBy>
  <dcterms:created xsi:type="dcterms:W3CDTF">2025-11-22T21:45:01Z</dcterms:created>
  <dcterms:modified xsi:type="dcterms:W3CDTF">2026-06-03T08:25:14Z</dcterms:modified>
</cp:coreProperties>
</file>